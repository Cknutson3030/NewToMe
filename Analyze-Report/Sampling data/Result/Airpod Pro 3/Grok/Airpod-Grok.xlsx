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esktop/Result/Airpod Pro 3/Grok/"/>
    </mc:Choice>
  </mc:AlternateContent>
  <xr:revisionPtr revIDLastSave="12" documentId="11_F25DC773A252ABDACC104872291F7B225BDE58E9" xr6:coauthVersionLast="47" xr6:coauthVersionMax="47" xr10:uidLastSave="{426944D2-06CE-4D0F-B55F-B04BA5D64E55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D37" i="1"/>
  <c r="C37" i="1"/>
  <c r="E36" i="1"/>
  <c r="D36" i="1"/>
  <c r="C36" i="1"/>
  <c r="E25" i="1"/>
  <c r="D25" i="1"/>
  <c r="C25" i="1"/>
  <c r="E24" i="1"/>
  <c r="D24" i="1"/>
  <c r="C24" i="1"/>
  <c r="D12" i="1"/>
  <c r="E12" i="1"/>
  <c r="D13" i="1"/>
  <c r="E13" i="1"/>
  <c r="C13" i="1"/>
  <c r="C12" i="1"/>
</calcChain>
</file>

<file path=xl/sharedStrings.xml><?xml version="1.0" encoding="utf-8"?>
<sst xmlns="http://schemas.openxmlformats.org/spreadsheetml/2006/main" count="36" uniqueCount="5">
  <si>
    <t>grok-4-1-fast-reasoning</t>
  </si>
  <si>
    <t>grok-4-1-fast-non-reasoning</t>
  </si>
  <si>
    <t>grok-4.20-0309-reasoning</t>
  </si>
  <si>
    <t>Average</t>
  </si>
  <si>
    <t>Std(Sample)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</si>
</sst>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7"/>
  <sheetViews>
    <sheetView tabSelected="1" workbookViewId="0">
      <selection activeCell="H31" sqref="H31"/>
    </sheetView>
  </sheetViews>
  <sheetFormatPr defaultRowHeight="14.4" x14ac:dyDescent="0.3"/>
  <sheetData>
    <row r="2" spans="2:5" x14ac:dyDescent="0.3">
      <c r="B2" t="s">
        <v>0</v>
      </c>
      <c r="C2">
        <v>2268</v>
      </c>
      <c r="D2">
        <v>5135</v>
      </c>
      <c r="E2">
        <v>58191</v>
      </c>
    </row>
    <row r="3" spans="2:5" x14ac:dyDescent="0.3">
      <c r="B3" t="s">
        <v>0</v>
      </c>
      <c r="C3">
        <v>2268</v>
      </c>
      <c r="D3">
        <v>4140</v>
      </c>
      <c r="E3">
        <v>45463</v>
      </c>
    </row>
    <row r="4" spans="2:5" x14ac:dyDescent="0.3">
      <c r="B4" t="s">
        <v>0</v>
      </c>
      <c r="C4">
        <v>2268</v>
      </c>
      <c r="D4">
        <v>4506</v>
      </c>
      <c r="E4">
        <v>51540</v>
      </c>
    </row>
    <row r="5" spans="2:5" x14ac:dyDescent="0.3">
      <c r="B5" t="s">
        <v>0</v>
      </c>
      <c r="C5">
        <v>2268</v>
      </c>
      <c r="D5">
        <v>3928</v>
      </c>
      <c r="E5">
        <v>41772</v>
      </c>
    </row>
    <row r="6" spans="2:5" x14ac:dyDescent="0.3">
      <c r="B6" t="s">
        <v>0</v>
      </c>
      <c r="C6">
        <v>2268</v>
      </c>
      <c r="D6">
        <v>5396</v>
      </c>
      <c r="E6">
        <v>57364</v>
      </c>
    </row>
    <row r="7" spans="2:5" x14ac:dyDescent="0.3">
      <c r="B7" t="s">
        <v>0</v>
      </c>
      <c r="C7">
        <v>2268</v>
      </c>
      <c r="D7">
        <v>3858</v>
      </c>
      <c r="E7">
        <v>37818</v>
      </c>
    </row>
    <row r="8" spans="2:5" x14ac:dyDescent="0.3">
      <c r="B8" t="s">
        <v>0</v>
      </c>
      <c r="C8">
        <v>2268</v>
      </c>
      <c r="D8">
        <v>3521</v>
      </c>
      <c r="E8">
        <v>35557</v>
      </c>
    </row>
    <row r="9" spans="2:5" x14ac:dyDescent="0.3">
      <c r="B9" t="s">
        <v>0</v>
      </c>
      <c r="C9">
        <v>2268</v>
      </c>
      <c r="D9">
        <v>4901</v>
      </c>
      <c r="E9">
        <v>48288</v>
      </c>
    </row>
    <row r="10" spans="2:5" x14ac:dyDescent="0.3">
      <c r="B10" t="s">
        <v>0</v>
      </c>
      <c r="C10">
        <v>2268</v>
      </c>
      <c r="D10">
        <v>3946</v>
      </c>
      <c r="E10">
        <v>40561</v>
      </c>
    </row>
    <row r="11" spans="2:5" x14ac:dyDescent="0.3">
      <c r="B11" t="s">
        <v>0</v>
      </c>
      <c r="C11">
        <v>2268</v>
      </c>
      <c r="D11">
        <v>3745</v>
      </c>
      <c r="E11">
        <v>39869</v>
      </c>
    </row>
    <row r="12" spans="2:5" x14ac:dyDescent="0.3">
      <c r="B12" t="s">
        <v>3</v>
      </c>
      <c r="C12">
        <f>AVERAGE(C2:C11)</f>
        <v>2268</v>
      </c>
      <c r="D12">
        <f t="shared" ref="D12:E12" si="0">AVERAGE(D2:D11)</f>
        <v>4307.6000000000004</v>
      </c>
      <c r="E12">
        <f t="shared" si="0"/>
        <v>45642.3</v>
      </c>
    </row>
    <row r="13" spans="2:5" x14ac:dyDescent="0.3">
      <c r="B13" t="s">
        <v>4</v>
      </c>
      <c r="C13">
        <f>_xlfn.STDEV.S(C2:C11)</f>
        <v>0</v>
      </c>
      <c r="D13">
        <f t="shared" ref="D13:E13" si="1">_xlfn.STDEV.S(D2:D11)</f>
        <v>641.26874241615792</v>
      </c>
      <c r="E13">
        <f t="shared" si="1"/>
        <v>7984.3293470536428</v>
      </c>
    </row>
    <row r="14" spans="2:5" x14ac:dyDescent="0.3">
      <c r="B14" t="s">
        <v>1</v>
      </c>
      <c r="C14">
        <v>2280</v>
      </c>
      <c r="D14">
        <v>143</v>
      </c>
      <c r="E14">
        <v>1791</v>
      </c>
    </row>
    <row r="15" spans="2:5" x14ac:dyDescent="0.3">
      <c r="B15" t="s">
        <v>1</v>
      </c>
      <c r="C15">
        <v>2280</v>
      </c>
      <c r="D15">
        <v>139</v>
      </c>
      <c r="E15">
        <v>1536</v>
      </c>
    </row>
    <row r="16" spans="2:5" x14ac:dyDescent="0.3">
      <c r="B16" t="s">
        <v>1</v>
      </c>
      <c r="C16">
        <v>2280</v>
      </c>
      <c r="D16">
        <v>142</v>
      </c>
      <c r="E16">
        <v>1733</v>
      </c>
    </row>
    <row r="17" spans="2:5" x14ac:dyDescent="0.3">
      <c r="B17" t="s">
        <v>1</v>
      </c>
      <c r="C17">
        <v>2280</v>
      </c>
      <c r="D17">
        <v>142</v>
      </c>
      <c r="E17">
        <v>2277</v>
      </c>
    </row>
    <row r="18" spans="2:5" x14ac:dyDescent="0.3">
      <c r="B18" t="s">
        <v>1</v>
      </c>
      <c r="C18">
        <v>2280</v>
      </c>
      <c r="D18">
        <v>142</v>
      </c>
      <c r="E18">
        <v>1814</v>
      </c>
    </row>
    <row r="19" spans="2:5" x14ac:dyDescent="0.3">
      <c r="B19" t="s">
        <v>1</v>
      </c>
      <c r="C19">
        <v>2280</v>
      </c>
      <c r="D19">
        <v>142</v>
      </c>
      <c r="E19">
        <v>2199</v>
      </c>
    </row>
    <row r="20" spans="2:5" x14ac:dyDescent="0.3">
      <c r="B20" t="s">
        <v>1</v>
      </c>
      <c r="C20">
        <v>2280</v>
      </c>
      <c r="D20">
        <v>143</v>
      </c>
      <c r="E20">
        <v>2495</v>
      </c>
    </row>
    <row r="21" spans="2:5" x14ac:dyDescent="0.3">
      <c r="B21" t="s">
        <v>1</v>
      </c>
      <c r="C21">
        <v>2280</v>
      </c>
      <c r="D21">
        <v>143</v>
      </c>
      <c r="E21">
        <v>2168</v>
      </c>
    </row>
    <row r="22" spans="2:5" x14ac:dyDescent="0.3">
      <c r="B22" t="s">
        <v>1</v>
      </c>
      <c r="C22">
        <v>2280</v>
      </c>
      <c r="D22">
        <v>140</v>
      </c>
      <c r="E22">
        <v>1976</v>
      </c>
    </row>
    <row r="23" spans="2:5" x14ac:dyDescent="0.3">
      <c r="B23" t="s">
        <v>1</v>
      </c>
      <c r="C23">
        <v>2280</v>
      </c>
      <c r="D23">
        <v>140</v>
      </c>
      <c r="E23">
        <v>2110</v>
      </c>
    </row>
    <row r="24" spans="2:5" x14ac:dyDescent="0.3">
      <c r="B24" t="s">
        <v>3</v>
      </c>
      <c r="C24">
        <f>AVERAGE(C14:C23)</f>
        <v>2280</v>
      </c>
      <c r="D24">
        <f t="shared" ref="D24" si="2">AVERAGE(D14:D23)</f>
        <v>141.6</v>
      </c>
      <c r="E24">
        <f t="shared" ref="E24" si="3">AVERAGE(E14:E23)</f>
        <v>2009.9</v>
      </c>
    </row>
    <row r="25" spans="2:5" x14ac:dyDescent="0.3">
      <c r="B25" t="s">
        <v>4</v>
      </c>
      <c r="C25">
        <f>_xlfn.STDEV.S(C14:C23)</f>
        <v>0</v>
      </c>
      <c r="D25">
        <f t="shared" ref="D25:E25" si="4">_xlfn.STDEV.S(D14:D23)</f>
        <v>1.429840705968481</v>
      </c>
      <c r="E25">
        <f t="shared" si="4"/>
        <v>291.76415513599687</v>
      </c>
    </row>
    <row r="26" spans="2:5" x14ac:dyDescent="0.3">
      <c r="B26" t="s">
        <v>2</v>
      </c>
      <c r="C26">
        <v>1919</v>
      </c>
      <c r="D26">
        <v>2508</v>
      </c>
      <c r="E26">
        <v>16421</v>
      </c>
    </row>
    <row r="27" spans="2:5" x14ac:dyDescent="0.3">
      <c r="B27" t="s">
        <v>2</v>
      </c>
      <c r="C27">
        <v>1919</v>
      </c>
      <c r="D27">
        <v>1899</v>
      </c>
      <c r="E27">
        <v>11680</v>
      </c>
    </row>
    <row r="28" spans="2:5" x14ac:dyDescent="0.3">
      <c r="B28" t="s">
        <v>2</v>
      </c>
      <c r="C28">
        <v>1919</v>
      </c>
      <c r="D28">
        <v>2215</v>
      </c>
      <c r="E28">
        <v>12826</v>
      </c>
    </row>
    <row r="29" spans="2:5" x14ac:dyDescent="0.3">
      <c r="B29" t="s">
        <v>2</v>
      </c>
      <c r="C29">
        <v>1919</v>
      </c>
      <c r="D29">
        <v>1848</v>
      </c>
      <c r="E29">
        <v>10791</v>
      </c>
    </row>
    <row r="30" spans="2:5" x14ac:dyDescent="0.3">
      <c r="B30" t="s">
        <v>2</v>
      </c>
      <c r="C30">
        <v>1919</v>
      </c>
      <c r="D30">
        <v>2238</v>
      </c>
      <c r="E30">
        <v>13292</v>
      </c>
    </row>
    <row r="31" spans="2:5" x14ac:dyDescent="0.3">
      <c r="B31" t="s">
        <v>2</v>
      </c>
      <c r="C31">
        <v>1919</v>
      </c>
      <c r="D31">
        <v>2244</v>
      </c>
      <c r="E31">
        <v>13979</v>
      </c>
    </row>
    <row r="32" spans="2:5" x14ac:dyDescent="0.3">
      <c r="B32" t="s">
        <v>2</v>
      </c>
      <c r="C32">
        <v>1919</v>
      </c>
      <c r="D32">
        <v>1926</v>
      </c>
      <c r="E32">
        <v>12585</v>
      </c>
    </row>
    <row r="33" spans="2:5" x14ac:dyDescent="0.3">
      <c r="B33" t="s">
        <v>2</v>
      </c>
      <c r="C33">
        <v>1919</v>
      </c>
      <c r="D33">
        <v>2022</v>
      </c>
      <c r="E33">
        <v>14181</v>
      </c>
    </row>
    <row r="34" spans="2:5" x14ac:dyDescent="0.3">
      <c r="B34" t="s">
        <v>2</v>
      </c>
      <c r="C34">
        <v>1919</v>
      </c>
      <c r="D34">
        <v>2612</v>
      </c>
      <c r="E34">
        <v>15701</v>
      </c>
    </row>
    <row r="35" spans="2:5" x14ac:dyDescent="0.3">
      <c r="B35" t="s">
        <v>2</v>
      </c>
      <c r="C35">
        <v>1919</v>
      </c>
      <c r="D35">
        <v>1993</v>
      </c>
      <c r="E35">
        <v>14104</v>
      </c>
    </row>
    <row r="36" spans="2:5" x14ac:dyDescent="0.3">
      <c r="B36" t="s">
        <v>3</v>
      </c>
      <c r="C36">
        <f>AVERAGE(C26:C35)</f>
        <v>1919</v>
      </c>
      <c r="D36">
        <f t="shared" ref="D36" si="5">AVERAGE(D26:D35)</f>
        <v>2150.5</v>
      </c>
      <c r="E36">
        <f t="shared" ref="E36" si="6">AVERAGE(E26:E35)</f>
        <v>13556</v>
      </c>
    </row>
    <row r="37" spans="2:5" x14ac:dyDescent="0.3">
      <c r="B37" t="s">
        <v>4</v>
      </c>
      <c r="C37">
        <f>_xlfn.STDEV.S(C26:C35)</f>
        <v>0</v>
      </c>
      <c r="D37">
        <f t="shared" ref="D37:E37" si="7">_xlfn.STDEV.S(D26:D35)</f>
        <v>259.87700082068739</v>
      </c>
      <c r="E37">
        <f t="shared" si="7"/>
        <v>1712.3455648125857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2026-04-01T07:29:52Z</dcterms:modified>
</cp:coreProperties>
</file>