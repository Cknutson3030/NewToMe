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esktop/Result/Airpod Pro 3/Claude/"/>
    </mc:Choice>
  </mc:AlternateContent>
  <xr:revisionPtr revIDLastSave="13" documentId="11_F25DC773A252ABDACC104872291F7B225BDE58E9" xr6:coauthVersionLast="47" xr6:coauthVersionMax="47" xr10:uidLastSave="{CEDBDCB1-D858-46A8-A21E-A3F6D14DC9C7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8" i="1"/>
  <c r="C38" i="1"/>
  <c r="E37" i="1"/>
  <c r="D37" i="1"/>
  <c r="C37" i="1"/>
  <c r="D25" i="1"/>
  <c r="E26" i="1"/>
  <c r="D26" i="1"/>
  <c r="C26" i="1"/>
  <c r="E25" i="1"/>
  <c r="C25" i="1"/>
  <c r="E13" i="1"/>
  <c r="D13" i="1"/>
  <c r="D14" i="1"/>
  <c r="E14" i="1"/>
  <c r="C14" i="1"/>
  <c r="C13" i="1"/>
</calcChain>
</file>

<file path=xl/sharedStrings.xml><?xml version="1.0" encoding="utf-8"?>
<sst xmlns="http://schemas.openxmlformats.org/spreadsheetml/2006/main" count="40" uniqueCount="9">
  <si>
    <t>Model</t>
  </si>
  <si>
    <t>claude-sonnet-4-6</t>
  </si>
  <si>
    <t>Input Tokens</t>
  </si>
  <si>
    <t>Output Tokens</t>
  </si>
  <si>
    <t>processing_ms</t>
  </si>
  <si>
    <t>claude-haiku-4-5</t>
  </si>
  <si>
    <t>claude-opus-4-6</t>
  </si>
  <si>
    <t>Average</t>
  </si>
  <si>
    <t>Std(Sample)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</si>
</sst>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8"/>
  <sheetViews>
    <sheetView tabSelected="1" topLeftCell="A13" workbookViewId="0">
      <selection activeCell="H33" sqref="H33"/>
    </sheetView>
  </sheetViews>
  <sheetFormatPr defaultRowHeight="14.4" x14ac:dyDescent="0.3"/>
  <sheetData>
    <row r="2" spans="2:5" x14ac:dyDescent="0.3">
      <c r="B2" t="s">
        <v>0</v>
      </c>
      <c r="C2" t="s">
        <v>2</v>
      </c>
      <c r="D2" t="s">
        <v>3</v>
      </c>
      <c r="E2" t="s">
        <v>4</v>
      </c>
    </row>
    <row r="3" spans="2:5" x14ac:dyDescent="0.3">
      <c r="B3" t="s">
        <v>1</v>
      </c>
      <c r="C3">
        <v>4561</v>
      </c>
      <c r="D3">
        <v>138</v>
      </c>
      <c r="E3">
        <v>4566</v>
      </c>
    </row>
    <row r="4" spans="2:5" x14ac:dyDescent="0.3">
      <c r="B4" t="s">
        <v>1</v>
      </c>
      <c r="C4">
        <v>4561</v>
      </c>
      <c r="D4">
        <v>129</v>
      </c>
      <c r="E4">
        <v>4975</v>
      </c>
    </row>
    <row r="5" spans="2:5" x14ac:dyDescent="0.3">
      <c r="B5" t="s">
        <v>1</v>
      </c>
      <c r="C5">
        <v>4561</v>
      </c>
      <c r="D5">
        <v>129</v>
      </c>
      <c r="E5">
        <v>5447</v>
      </c>
    </row>
    <row r="6" spans="2:5" x14ac:dyDescent="0.3">
      <c r="B6" t="s">
        <v>1</v>
      </c>
      <c r="C6">
        <v>4561</v>
      </c>
      <c r="D6">
        <v>126</v>
      </c>
      <c r="E6">
        <v>6123</v>
      </c>
    </row>
    <row r="7" spans="2:5" x14ac:dyDescent="0.3">
      <c r="B7" t="s">
        <v>1</v>
      </c>
      <c r="C7">
        <v>4561</v>
      </c>
      <c r="D7">
        <v>141</v>
      </c>
      <c r="E7">
        <v>5017</v>
      </c>
    </row>
    <row r="8" spans="2:5" x14ac:dyDescent="0.3">
      <c r="B8" t="s">
        <v>1</v>
      </c>
      <c r="C8">
        <v>4561</v>
      </c>
      <c r="D8">
        <v>129</v>
      </c>
      <c r="E8">
        <v>5156</v>
      </c>
    </row>
    <row r="9" spans="2:5" x14ac:dyDescent="0.3">
      <c r="B9" t="s">
        <v>1</v>
      </c>
      <c r="C9">
        <v>4561</v>
      </c>
      <c r="D9">
        <v>138</v>
      </c>
      <c r="E9">
        <v>4296</v>
      </c>
    </row>
    <row r="10" spans="2:5" x14ac:dyDescent="0.3">
      <c r="B10" t="s">
        <v>1</v>
      </c>
      <c r="C10">
        <v>4561</v>
      </c>
      <c r="D10">
        <v>129</v>
      </c>
      <c r="E10">
        <v>5495</v>
      </c>
    </row>
    <row r="11" spans="2:5" x14ac:dyDescent="0.3">
      <c r="B11" t="s">
        <v>1</v>
      </c>
      <c r="C11">
        <v>4561</v>
      </c>
      <c r="D11">
        <v>138</v>
      </c>
      <c r="E11">
        <v>5414</v>
      </c>
    </row>
    <row r="12" spans="2:5" x14ac:dyDescent="0.3">
      <c r="B12" t="s">
        <v>1</v>
      </c>
      <c r="C12">
        <v>4561</v>
      </c>
      <c r="D12">
        <v>122</v>
      </c>
      <c r="E12">
        <v>5336</v>
      </c>
    </row>
    <row r="13" spans="2:5" x14ac:dyDescent="0.3">
      <c r="B13" t="s">
        <v>7</v>
      </c>
      <c r="C13">
        <f>AVERAGE(C3:C12)</f>
        <v>4561</v>
      </c>
      <c r="D13">
        <f t="shared" ref="D13:E13" si="0">AVERAGE(D3:D12)</f>
        <v>131.9</v>
      </c>
      <c r="E13">
        <f>AVERAGE(E3:E12)</f>
        <v>5182.5</v>
      </c>
    </row>
    <row r="14" spans="2:5" x14ac:dyDescent="0.3">
      <c r="B14" t="s">
        <v>8</v>
      </c>
      <c r="C14">
        <f>_xlfn.STDEV.S(C3:C12)</f>
        <v>0</v>
      </c>
      <c r="D14">
        <f t="shared" ref="D14:E14" si="1">_xlfn.STDEV.S(D3:D12)</f>
        <v>6.3324560795950253</v>
      </c>
      <c r="E14">
        <f t="shared" si="1"/>
        <v>512.77182493234204</v>
      </c>
    </row>
    <row r="15" spans="2:5" x14ac:dyDescent="0.3">
      <c r="B15" t="s">
        <v>5</v>
      </c>
      <c r="C15">
        <v>4560</v>
      </c>
      <c r="D15">
        <v>131</v>
      </c>
      <c r="E15">
        <v>3142</v>
      </c>
    </row>
    <row r="16" spans="2:5" x14ac:dyDescent="0.3">
      <c r="B16" t="s">
        <v>5</v>
      </c>
      <c r="C16">
        <v>4560</v>
      </c>
      <c r="D16">
        <v>131</v>
      </c>
      <c r="E16">
        <v>2248</v>
      </c>
    </row>
    <row r="17" spans="2:5" x14ac:dyDescent="0.3">
      <c r="B17" t="s">
        <v>5</v>
      </c>
      <c r="C17">
        <v>4560</v>
      </c>
      <c r="D17">
        <v>130</v>
      </c>
      <c r="E17">
        <v>3055</v>
      </c>
    </row>
    <row r="18" spans="2:5" x14ac:dyDescent="0.3">
      <c r="B18" t="s">
        <v>5</v>
      </c>
      <c r="C18">
        <v>4560</v>
      </c>
      <c r="D18">
        <v>124</v>
      </c>
      <c r="E18">
        <v>2634</v>
      </c>
    </row>
    <row r="19" spans="2:5" x14ac:dyDescent="0.3">
      <c r="B19" t="s">
        <v>5</v>
      </c>
      <c r="C19">
        <v>4560</v>
      </c>
      <c r="D19">
        <v>127</v>
      </c>
      <c r="E19">
        <v>2478</v>
      </c>
    </row>
    <row r="20" spans="2:5" x14ac:dyDescent="0.3">
      <c r="B20" t="s">
        <v>5</v>
      </c>
      <c r="C20">
        <v>4560</v>
      </c>
      <c r="D20">
        <v>118</v>
      </c>
      <c r="E20">
        <v>2559</v>
      </c>
    </row>
    <row r="21" spans="2:5" x14ac:dyDescent="0.3">
      <c r="B21" t="s">
        <v>5</v>
      </c>
      <c r="C21">
        <v>4560</v>
      </c>
      <c r="D21">
        <v>119</v>
      </c>
      <c r="E21">
        <v>2651</v>
      </c>
    </row>
    <row r="22" spans="2:5" x14ac:dyDescent="0.3">
      <c r="B22" t="s">
        <v>5</v>
      </c>
      <c r="C22">
        <v>4560</v>
      </c>
      <c r="D22">
        <v>119</v>
      </c>
      <c r="E22">
        <v>3546</v>
      </c>
    </row>
    <row r="23" spans="2:5" x14ac:dyDescent="0.3">
      <c r="B23" t="s">
        <v>5</v>
      </c>
      <c r="C23">
        <v>4560</v>
      </c>
      <c r="D23">
        <v>123</v>
      </c>
      <c r="E23">
        <v>2679</v>
      </c>
    </row>
    <row r="24" spans="2:5" x14ac:dyDescent="0.3">
      <c r="B24" t="s">
        <v>5</v>
      </c>
      <c r="C24">
        <v>4560</v>
      </c>
      <c r="D24">
        <v>132</v>
      </c>
      <c r="E24">
        <v>2603</v>
      </c>
    </row>
    <row r="25" spans="2:5" x14ac:dyDescent="0.3">
      <c r="B25" t="s">
        <v>7</v>
      </c>
      <c r="C25">
        <f>AVERAGE(C15:C24)</f>
        <v>4560</v>
      </c>
      <c r="D25">
        <f>AVERAGE(D15:D24)</f>
        <v>125.4</v>
      </c>
      <c r="E25">
        <f>AVERAGE(E15:E24)</f>
        <v>2759.5</v>
      </c>
    </row>
    <row r="26" spans="2:5" x14ac:dyDescent="0.3">
      <c r="B26" t="s">
        <v>8</v>
      </c>
      <c r="C26">
        <f>_xlfn.STDEV.S(C15:C24)</f>
        <v>0</v>
      </c>
      <c r="D26">
        <f t="shared" ref="D26:E26" si="2">_xlfn.STDEV.S(D15:D24)</f>
        <v>5.521674464226308</v>
      </c>
      <c r="E26">
        <f t="shared" si="2"/>
        <v>378.85478015255984</v>
      </c>
    </row>
    <row r="27" spans="2:5" x14ac:dyDescent="0.3">
      <c r="B27" t="s">
        <v>6</v>
      </c>
      <c r="C27">
        <v>4561</v>
      </c>
      <c r="D27">
        <v>136</v>
      </c>
      <c r="E27">
        <v>5592</v>
      </c>
    </row>
    <row r="28" spans="2:5" x14ac:dyDescent="0.3">
      <c r="B28" t="s">
        <v>6</v>
      </c>
      <c r="C28">
        <v>4561</v>
      </c>
      <c r="D28">
        <v>135</v>
      </c>
      <c r="E28">
        <v>6619</v>
      </c>
    </row>
    <row r="29" spans="2:5" x14ac:dyDescent="0.3">
      <c r="B29" t="s">
        <v>6</v>
      </c>
      <c r="C29">
        <v>4561</v>
      </c>
      <c r="D29">
        <v>137</v>
      </c>
      <c r="E29">
        <v>5490</v>
      </c>
    </row>
    <row r="30" spans="2:5" x14ac:dyDescent="0.3">
      <c r="B30" t="s">
        <v>6</v>
      </c>
      <c r="C30">
        <v>4561</v>
      </c>
      <c r="D30">
        <v>135</v>
      </c>
      <c r="E30">
        <v>6783</v>
      </c>
    </row>
    <row r="31" spans="2:5" x14ac:dyDescent="0.3">
      <c r="B31" t="s">
        <v>6</v>
      </c>
      <c r="C31">
        <v>4561</v>
      </c>
      <c r="D31">
        <v>135</v>
      </c>
      <c r="E31">
        <v>7102</v>
      </c>
    </row>
    <row r="32" spans="2:5" x14ac:dyDescent="0.3">
      <c r="B32" t="s">
        <v>6</v>
      </c>
      <c r="C32">
        <v>4561</v>
      </c>
      <c r="D32">
        <v>136</v>
      </c>
      <c r="E32">
        <v>7520</v>
      </c>
    </row>
    <row r="33" spans="2:5" x14ac:dyDescent="0.3">
      <c r="B33" t="s">
        <v>6</v>
      </c>
      <c r="C33">
        <v>4561</v>
      </c>
      <c r="D33">
        <v>134</v>
      </c>
      <c r="E33">
        <v>6279</v>
      </c>
    </row>
    <row r="34" spans="2:5" x14ac:dyDescent="0.3">
      <c r="B34" t="s">
        <v>6</v>
      </c>
      <c r="C34">
        <v>4561</v>
      </c>
      <c r="D34">
        <v>136</v>
      </c>
      <c r="E34">
        <v>6699</v>
      </c>
    </row>
    <row r="35" spans="2:5" x14ac:dyDescent="0.3">
      <c r="B35" t="s">
        <v>6</v>
      </c>
      <c r="C35">
        <v>4561</v>
      </c>
      <c r="D35">
        <v>134</v>
      </c>
      <c r="E35">
        <v>6974</v>
      </c>
    </row>
    <row r="36" spans="2:5" x14ac:dyDescent="0.3">
      <c r="B36" t="s">
        <v>6</v>
      </c>
      <c r="C36">
        <v>4561</v>
      </c>
      <c r="D36">
        <v>135</v>
      </c>
      <c r="E36">
        <v>9199</v>
      </c>
    </row>
    <row r="37" spans="2:5" x14ac:dyDescent="0.3">
      <c r="B37" t="s">
        <v>7</v>
      </c>
      <c r="C37">
        <f>AVERAGE(C27:C36)</f>
        <v>4561</v>
      </c>
      <c r="D37">
        <f>AVERAGE(D27:D36)</f>
        <v>135.30000000000001</v>
      </c>
      <c r="E37">
        <f>AVERAGE(E27:E36)</f>
        <v>6825.7</v>
      </c>
    </row>
    <row r="38" spans="2:5" x14ac:dyDescent="0.3">
      <c r="B38" t="s">
        <v>8</v>
      </c>
      <c r="C38">
        <f>_xlfn.STDEV.S(C27:C36)</f>
        <v>0</v>
      </c>
      <c r="D38">
        <f t="shared" ref="D38:E38" si="3">_xlfn.STDEV.S(D27:D36)</f>
        <v>0.94868329805051377</v>
      </c>
      <c r="E38">
        <f t="shared" si="3"/>
        <v>1047.6710732752815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2026-04-01T07:22:57Z</dcterms:modified>
</cp:coreProperties>
</file>