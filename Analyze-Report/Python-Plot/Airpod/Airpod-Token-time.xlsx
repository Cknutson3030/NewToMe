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8675a5a4bf720b8/Desktop/Result/Airpod Pro 3/"/>
    </mc:Choice>
  </mc:AlternateContent>
  <xr:revisionPtr revIDLastSave="96" documentId="11_F25DC773A252ABDACC104872291F7B225BDE58E9" xr6:coauthVersionLast="47" xr6:coauthVersionMax="47" xr10:uidLastSave="{3D9B0821-F830-45C3-9A82-7BF9F875F29D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3" i="1" l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F112" i="1"/>
  <c r="E11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F102" i="1"/>
  <c r="E10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F92" i="1"/>
  <c r="E9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F72" i="1"/>
  <c r="E71" i="1"/>
  <c r="E7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F82" i="1"/>
  <c r="E8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F71" i="1"/>
  <c r="F62" i="1"/>
  <c r="E6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F32" i="1"/>
  <c r="E3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F22" i="1"/>
  <c r="E22" i="1"/>
  <c r="E21" i="1"/>
  <c r="F13" i="1"/>
  <c r="F14" i="1"/>
  <c r="F15" i="1"/>
  <c r="F16" i="1"/>
  <c r="F17" i="1"/>
  <c r="F18" i="1"/>
  <c r="F19" i="1"/>
  <c r="F20" i="1"/>
  <c r="F21" i="1"/>
  <c r="F12" i="1"/>
  <c r="E20" i="1"/>
  <c r="E19" i="1"/>
  <c r="E18" i="1"/>
  <c r="E17" i="1"/>
  <c r="E16" i="1"/>
  <c r="E15" i="1"/>
  <c r="E14" i="1"/>
  <c r="E13" i="1"/>
  <c r="E1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F2" i="1"/>
  <c r="E2" i="1"/>
</calcChain>
</file>

<file path=xl/sharedStrings.xml><?xml version="1.0" encoding="utf-8"?>
<sst xmlns="http://schemas.openxmlformats.org/spreadsheetml/2006/main" count="126" uniqueCount="18">
  <si>
    <t>gpt-5.4</t>
  </si>
  <si>
    <t>gpt-4o</t>
  </si>
  <si>
    <t>gpt-4o-mini</t>
  </si>
  <si>
    <t>grok-4-1-fast-reasoning</t>
  </si>
  <si>
    <t>grok-4-1-fast-non-reasoning</t>
  </si>
  <si>
    <t>grok-4.20-0309-reasoning</t>
  </si>
  <si>
    <t>gemini-3.1-pro-preview</t>
  </si>
  <si>
    <t>gemini-2.5-flash-lite</t>
  </si>
  <si>
    <t>gemini-2.5-flash</t>
  </si>
  <si>
    <t>claude-sonnet-4-6</t>
  </si>
  <si>
    <t>claude-haiku-4-5</t>
  </si>
  <si>
    <t>claude-opus-4-6</t>
  </si>
  <si>
    <t>Model</t>
  </si>
  <si>
    <t>Input Tokens</t>
  </si>
  <si>
    <t>Output Tokens</t>
  </si>
  <si>
    <t>processing_ms</t>
  </si>
  <si>
    <t>Input Tokens pricing rate</t>
  </si>
  <si>
    <t>OutputTokens pricing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</si>
</sst>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selection activeCell="I113" sqref="I113"/>
    </sheetView>
  </sheetViews>
  <sheetFormatPr defaultRowHeight="14.4" x14ac:dyDescent="0.3"/>
  <cols>
    <col min="1" max="1" width="30.5546875" customWidth="1"/>
    <col min="4" max="4" width="15.6640625" customWidth="1"/>
    <col min="5" max="5" width="22.44140625" customWidth="1"/>
    <col min="6" max="6" width="24.21875" customWidth="1"/>
  </cols>
  <sheetData>
    <row r="1" spans="1:6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">
      <c r="A2" t="s">
        <v>0</v>
      </c>
      <c r="B2">
        <v>3619</v>
      </c>
      <c r="C2">
        <v>491</v>
      </c>
      <c r="D2">
        <v>9713</v>
      </c>
      <c r="E2">
        <f>2.5/1000000</f>
        <v>2.5000000000000002E-6</v>
      </c>
      <c r="F2">
        <f>15/1000000</f>
        <v>1.5E-5</v>
      </c>
    </row>
    <row r="3" spans="1:6" x14ac:dyDescent="0.3">
      <c r="A3" t="s">
        <v>0</v>
      </c>
      <c r="B3">
        <v>3619</v>
      </c>
      <c r="C3">
        <v>469</v>
      </c>
      <c r="D3">
        <v>8916</v>
      </c>
      <c r="E3">
        <f t="shared" ref="E3:E21" si="0">2.5/1000000</f>
        <v>2.5000000000000002E-6</v>
      </c>
      <c r="F3">
        <f t="shared" ref="F3:F11" si="1">15/1000000</f>
        <v>1.5E-5</v>
      </c>
    </row>
    <row r="4" spans="1:6" x14ac:dyDescent="0.3">
      <c r="A4" t="s">
        <v>0</v>
      </c>
      <c r="B4">
        <v>3619</v>
      </c>
      <c r="C4">
        <v>319</v>
      </c>
      <c r="D4">
        <v>7173</v>
      </c>
      <c r="E4">
        <f t="shared" si="0"/>
        <v>2.5000000000000002E-6</v>
      </c>
      <c r="F4">
        <f t="shared" si="1"/>
        <v>1.5E-5</v>
      </c>
    </row>
    <row r="5" spans="1:6" x14ac:dyDescent="0.3">
      <c r="A5" t="s">
        <v>0</v>
      </c>
      <c r="B5">
        <v>3619</v>
      </c>
      <c r="C5">
        <v>413</v>
      </c>
      <c r="D5">
        <v>8107</v>
      </c>
      <c r="E5">
        <f t="shared" si="0"/>
        <v>2.5000000000000002E-6</v>
      </c>
      <c r="F5">
        <f t="shared" si="1"/>
        <v>1.5E-5</v>
      </c>
    </row>
    <row r="6" spans="1:6" x14ac:dyDescent="0.3">
      <c r="A6" t="s">
        <v>0</v>
      </c>
      <c r="B6">
        <v>3619</v>
      </c>
      <c r="C6">
        <v>644</v>
      </c>
      <c r="D6">
        <v>13627</v>
      </c>
      <c r="E6">
        <f t="shared" si="0"/>
        <v>2.5000000000000002E-6</v>
      </c>
      <c r="F6">
        <f t="shared" si="1"/>
        <v>1.5E-5</v>
      </c>
    </row>
    <row r="7" spans="1:6" x14ac:dyDescent="0.3">
      <c r="A7" t="s">
        <v>0</v>
      </c>
      <c r="B7">
        <v>3619</v>
      </c>
      <c r="C7">
        <v>343</v>
      </c>
      <c r="D7">
        <v>8902</v>
      </c>
      <c r="E7">
        <f t="shared" si="0"/>
        <v>2.5000000000000002E-6</v>
      </c>
      <c r="F7">
        <f t="shared" si="1"/>
        <v>1.5E-5</v>
      </c>
    </row>
    <row r="8" spans="1:6" x14ac:dyDescent="0.3">
      <c r="A8" t="s">
        <v>0</v>
      </c>
      <c r="B8">
        <v>3619</v>
      </c>
      <c r="C8">
        <v>412</v>
      </c>
      <c r="D8">
        <v>9803</v>
      </c>
      <c r="E8">
        <f t="shared" si="0"/>
        <v>2.5000000000000002E-6</v>
      </c>
      <c r="F8">
        <f t="shared" si="1"/>
        <v>1.5E-5</v>
      </c>
    </row>
    <row r="9" spans="1:6" x14ac:dyDescent="0.3">
      <c r="A9" t="s">
        <v>0</v>
      </c>
      <c r="B9">
        <v>3619</v>
      </c>
      <c r="C9">
        <v>384</v>
      </c>
      <c r="D9">
        <v>8212</v>
      </c>
      <c r="E9">
        <f t="shared" si="0"/>
        <v>2.5000000000000002E-6</v>
      </c>
      <c r="F9">
        <f t="shared" si="1"/>
        <v>1.5E-5</v>
      </c>
    </row>
    <row r="10" spans="1:6" x14ac:dyDescent="0.3">
      <c r="A10" t="s">
        <v>0</v>
      </c>
      <c r="B10">
        <v>3619</v>
      </c>
      <c r="C10">
        <v>374</v>
      </c>
      <c r="D10">
        <v>9230</v>
      </c>
      <c r="E10">
        <f t="shared" si="0"/>
        <v>2.5000000000000002E-6</v>
      </c>
      <c r="F10">
        <f t="shared" si="1"/>
        <v>1.5E-5</v>
      </c>
    </row>
    <row r="11" spans="1:6" x14ac:dyDescent="0.3">
      <c r="A11" t="s">
        <v>0</v>
      </c>
      <c r="B11">
        <v>3619</v>
      </c>
      <c r="C11">
        <v>344</v>
      </c>
      <c r="D11">
        <v>8151</v>
      </c>
      <c r="E11">
        <f t="shared" si="0"/>
        <v>2.5000000000000002E-6</v>
      </c>
      <c r="F11">
        <f t="shared" si="1"/>
        <v>1.5E-5</v>
      </c>
    </row>
    <row r="12" spans="1:6" x14ac:dyDescent="0.3">
      <c r="A12" t="s">
        <v>1</v>
      </c>
      <c r="B12">
        <v>4560</v>
      </c>
      <c r="C12">
        <v>84</v>
      </c>
      <c r="D12">
        <v>4847</v>
      </c>
      <c r="E12">
        <f t="shared" si="0"/>
        <v>2.5000000000000002E-6</v>
      </c>
      <c r="F12">
        <f>10/1000000</f>
        <v>1.0000000000000001E-5</v>
      </c>
    </row>
    <row r="13" spans="1:6" x14ac:dyDescent="0.3">
      <c r="A13" t="s">
        <v>1</v>
      </c>
      <c r="B13">
        <v>4560</v>
      </c>
      <c r="C13">
        <v>89</v>
      </c>
      <c r="D13">
        <v>7644</v>
      </c>
      <c r="E13">
        <f t="shared" si="0"/>
        <v>2.5000000000000002E-6</v>
      </c>
      <c r="F13">
        <f t="shared" ref="F13:F21" si="2">10/1000000</f>
        <v>1.0000000000000001E-5</v>
      </c>
    </row>
    <row r="14" spans="1:6" x14ac:dyDescent="0.3">
      <c r="A14" t="s">
        <v>1</v>
      </c>
      <c r="B14">
        <v>4560</v>
      </c>
      <c r="C14">
        <v>86</v>
      </c>
      <c r="D14">
        <v>4735</v>
      </c>
      <c r="E14">
        <f t="shared" si="0"/>
        <v>2.5000000000000002E-6</v>
      </c>
      <c r="F14">
        <f t="shared" si="2"/>
        <v>1.0000000000000001E-5</v>
      </c>
    </row>
    <row r="15" spans="1:6" x14ac:dyDescent="0.3">
      <c r="A15" t="s">
        <v>1</v>
      </c>
      <c r="B15">
        <v>4560</v>
      </c>
      <c r="C15">
        <v>85</v>
      </c>
      <c r="D15">
        <v>6914</v>
      </c>
      <c r="E15">
        <f t="shared" si="0"/>
        <v>2.5000000000000002E-6</v>
      </c>
      <c r="F15">
        <f t="shared" si="2"/>
        <v>1.0000000000000001E-5</v>
      </c>
    </row>
    <row r="16" spans="1:6" x14ac:dyDescent="0.3">
      <c r="A16" t="s">
        <v>1</v>
      </c>
      <c r="B16">
        <v>4560</v>
      </c>
      <c r="C16">
        <v>85</v>
      </c>
      <c r="D16">
        <v>6459</v>
      </c>
      <c r="E16">
        <f t="shared" si="0"/>
        <v>2.5000000000000002E-6</v>
      </c>
      <c r="F16">
        <f t="shared" si="2"/>
        <v>1.0000000000000001E-5</v>
      </c>
    </row>
    <row r="17" spans="1:6" x14ac:dyDescent="0.3">
      <c r="A17" t="s">
        <v>1</v>
      </c>
      <c r="B17">
        <v>4560</v>
      </c>
      <c r="C17">
        <v>77</v>
      </c>
      <c r="D17">
        <v>4687</v>
      </c>
      <c r="E17">
        <f t="shared" si="0"/>
        <v>2.5000000000000002E-6</v>
      </c>
      <c r="F17">
        <f t="shared" si="2"/>
        <v>1.0000000000000001E-5</v>
      </c>
    </row>
    <row r="18" spans="1:6" x14ac:dyDescent="0.3">
      <c r="A18" t="s">
        <v>1</v>
      </c>
      <c r="B18">
        <v>4560</v>
      </c>
      <c r="C18">
        <v>88</v>
      </c>
      <c r="D18">
        <v>5316</v>
      </c>
      <c r="E18">
        <f t="shared" si="0"/>
        <v>2.5000000000000002E-6</v>
      </c>
      <c r="F18">
        <f t="shared" si="2"/>
        <v>1.0000000000000001E-5</v>
      </c>
    </row>
    <row r="19" spans="1:6" x14ac:dyDescent="0.3">
      <c r="A19" t="s">
        <v>1</v>
      </c>
      <c r="B19">
        <v>4560</v>
      </c>
      <c r="C19">
        <v>85</v>
      </c>
      <c r="D19">
        <v>5470</v>
      </c>
      <c r="E19">
        <f t="shared" si="0"/>
        <v>2.5000000000000002E-6</v>
      </c>
      <c r="F19">
        <f t="shared" si="2"/>
        <v>1.0000000000000001E-5</v>
      </c>
    </row>
    <row r="20" spans="1:6" x14ac:dyDescent="0.3">
      <c r="A20" t="s">
        <v>1</v>
      </c>
      <c r="B20">
        <v>4560</v>
      </c>
      <c r="C20">
        <v>85</v>
      </c>
      <c r="D20">
        <v>6350</v>
      </c>
      <c r="E20">
        <f t="shared" si="0"/>
        <v>2.5000000000000002E-6</v>
      </c>
      <c r="F20">
        <f t="shared" si="2"/>
        <v>1.0000000000000001E-5</v>
      </c>
    </row>
    <row r="21" spans="1:6" x14ac:dyDescent="0.3">
      <c r="A21" t="s">
        <v>1</v>
      </c>
      <c r="B21">
        <v>4560</v>
      </c>
      <c r="C21">
        <v>85</v>
      </c>
      <c r="D21">
        <v>5280</v>
      </c>
      <c r="E21">
        <f>2.5/1000000</f>
        <v>2.5000000000000002E-6</v>
      </c>
      <c r="F21">
        <f t="shared" si="2"/>
        <v>1.0000000000000001E-5</v>
      </c>
    </row>
    <row r="22" spans="1:6" x14ac:dyDescent="0.3">
      <c r="A22" t="s">
        <v>2</v>
      </c>
      <c r="B22">
        <v>128240</v>
      </c>
      <c r="C22">
        <v>87</v>
      </c>
      <c r="D22">
        <v>6888</v>
      </c>
      <c r="E22">
        <f>0.15/1000000</f>
        <v>1.4999999999999999E-7</v>
      </c>
      <c r="F22">
        <f>0.6/1000000</f>
        <v>5.9999999999999997E-7</v>
      </c>
    </row>
    <row r="23" spans="1:6" x14ac:dyDescent="0.3">
      <c r="A23" t="s">
        <v>2</v>
      </c>
      <c r="B23">
        <v>128240</v>
      </c>
      <c r="C23">
        <v>89</v>
      </c>
      <c r="D23">
        <v>8149</v>
      </c>
      <c r="E23">
        <f t="shared" ref="E23:E31" si="3">0.15/1000000</f>
        <v>1.4999999999999999E-7</v>
      </c>
      <c r="F23">
        <f t="shared" ref="F23:F31" si="4">0.6/1000000</f>
        <v>5.9999999999999997E-7</v>
      </c>
    </row>
    <row r="24" spans="1:6" x14ac:dyDescent="0.3">
      <c r="A24" t="s">
        <v>2</v>
      </c>
      <c r="B24">
        <v>128240</v>
      </c>
      <c r="C24">
        <v>85</v>
      </c>
      <c r="D24">
        <v>11610</v>
      </c>
      <c r="E24">
        <f t="shared" si="3"/>
        <v>1.4999999999999999E-7</v>
      </c>
      <c r="F24">
        <f t="shared" si="4"/>
        <v>5.9999999999999997E-7</v>
      </c>
    </row>
    <row r="25" spans="1:6" x14ac:dyDescent="0.3">
      <c r="A25" t="s">
        <v>2</v>
      </c>
      <c r="B25">
        <v>128240</v>
      </c>
      <c r="C25">
        <v>89</v>
      </c>
      <c r="D25">
        <v>5720</v>
      </c>
      <c r="E25">
        <f t="shared" si="3"/>
        <v>1.4999999999999999E-7</v>
      </c>
      <c r="F25">
        <f t="shared" si="4"/>
        <v>5.9999999999999997E-7</v>
      </c>
    </row>
    <row r="26" spans="1:6" x14ac:dyDescent="0.3">
      <c r="A26" t="s">
        <v>2</v>
      </c>
      <c r="B26">
        <v>128240</v>
      </c>
      <c r="C26">
        <v>89</v>
      </c>
      <c r="D26">
        <v>6205</v>
      </c>
      <c r="E26">
        <f t="shared" si="3"/>
        <v>1.4999999999999999E-7</v>
      </c>
      <c r="F26">
        <f t="shared" si="4"/>
        <v>5.9999999999999997E-7</v>
      </c>
    </row>
    <row r="27" spans="1:6" x14ac:dyDescent="0.3">
      <c r="A27" t="s">
        <v>2</v>
      </c>
      <c r="B27">
        <v>128240</v>
      </c>
      <c r="C27">
        <v>89</v>
      </c>
      <c r="D27">
        <v>6893</v>
      </c>
      <c r="E27">
        <f t="shared" si="3"/>
        <v>1.4999999999999999E-7</v>
      </c>
      <c r="F27">
        <f t="shared" si="4"/>
        <v>5.9999999999999997E-7</v>
      </c>
    </row>
    <row r="28" spans="1:6" x14ac:dyDescent="0.3">
      <c r="A28" t="s">
        <v>2</v>
      </c>
      <c r="B28">
        <v>128240</v>
      </c>
      <c r="C28">
        <v>89</v>
      </c>
      <c r="D28">
        <v>8293</v>
      </c>
      <c r="E28">
        <f t="shared" si="3"/>
        <v>1.4999999999999999E-7</v>
      </c>
      <c r="F28">
        <f t="shared" si="4"/>
        <v>5.9999999999999997E-7</v>
      </c>
    </row>
    <row r="29" spans="1:6" x14ac:dyDescent="0.3">
      <c r="A29" t="s">
        <v>2</v>
      </c>
      <c r="B29">
        <v>128240</v>
      </c>
      <c r="C29">
        <v>91</v>
      </c>
      <c r="D29">
        <v>10872</v>
      </c>
      <c r="E29">
        <f t="shared" si="3"/>
        <v>1.4999999999999999E-7</v>
      </c>
      <c r="F29">
        <f t="shared" si="4"/>
        <v>5.9999999999999997E-7</v>
      </c>
    </row>
    <row r="30" spans="1:6" x14ac:dyDescent="0.3">
      <c r="A30" t="s">
        <v>2</v>
      </c>
      <c r="B30">
        <v>128240</v>
      </c>
      <c r="C30">
        <v>89</v>
      </c>
      <c r="D30">
        <v>7823</v>
      </c>
      <c r="E30">
        <f t="shared" si="3"/>
        <v>1.4999999999999999E-7</v>
      </c>
      <c r="F30">
        <f t="shared" si="4"/>
        <v>5.9999999999999997E-7</v>
      </c>
    </row>
    <row r="31" spans="1:6" x14ac:dyDescent="0.3">
      <c r="A31" t="s">
        <v>2</v>
      </c>
      <c r="B31">
        <v>128240</v>
      </c>
      <c r="C31">
        <v>91</v>
      </c>
      <c r="D31">
        <v>11187</v>
      </c>
      <c r="E31">
        <f t="shared" si="3"/>
        <v>1.4999999999999999E-7</v>
      </c>
      <c r="F31">
        <f t="shared" si="4"/>
        <v>5.9999999999999997E-7</v>
      </c>
    </row>
    <row r="32" spans="1:6" x14ac:dyDescent="0.3">
      <c r="A32" t="s">
        <v>3</v>
      </c>
      <c r="B32">
        <v>2268</v>
      </c>
      <c r="C32">
        <v>5135</v>
      </c>
      <c r="D32">
        <v>58191</v>
      </c>
      <c r="E32">
        <f>0.2/1000000</f>
        <v>2.0000000000000002E-7</v>
      </c>
      <c r="F32">
        <f>0.5/1000000</f>
        <v>4.9999999999999998E-7</v>
      </c>
    </row>
    <row r="33" spans="1:6" x14ac:dyDescent="0.3">
      <c r="A33" t="s">
        <v>3</v>
      </c>
      <c r="B33">
        <v>2268</v>
      </c>
      <c r="C33">
        <v>4140</v>
      </c>
      <c r="D33">
        <v>45463</v>
      </c>
      <c r="E33">
        <f t="shared" ref="E33:E51" si="5">0.2/1000000</f>
        <v>2.0000000000000002E-7</v>
      </c>
      <c r="F33">
        <f t="shared" ref="F33:F51" si="6">0.5/1000000</f>
        <v>4.9999999999999998E-7</v>
      </c>
    </row>
    <row r="34" spans="1:6" x14ac:dyDescent="0.3">
      <c r="A34" t="s">
        <v>3</v>
      </c>
      <c r="B34">
        <v>2268</v>
      </c>
      <c r="C34">
        <v>4506</v>
      </c>
      <c r="D34">
        <v>51540</v>
      </c>
      <c r="E34">
        <f t="shared" si="5"/>
        <v>2.0000000000000002E-7</v>
      </c>
      <c r="F34">
        <f t="shared" si="6"/>
        <v>4.9999999999999998E-7</v>
      </c>
    </row>
    <row r="35" spans="1:6" x14ac:dyDescent="0.3">
      <c r="A35" t="s">
        <v>3</v>
      </c>
      <c r="B35">
        <v>2268</v>
      </c>
      <c r="C35">
        <v>3928</v>
      </c>
      <c r="D35">
        <v>41772</v>
      </c>
      <c r="E35">
        <f t="shared" si="5"/>
        <v>2.0000000000000002E-7</v>
      </c>
      <c r="F35">
        <f t="shared" si="6"/>
        <v>4.9999999999999998E-7</v>
      </c>
    </row>
    <row r="36" spans="1:6" x14ac:dyDescent="0.3">
      <c r="A36" t="s">
        <v>3</v>
      </c>
      <c r="B36">
        <v>2268</v>
      </c>
      <c r="C36">
        <v>5396</v>
      </c>
      <c r="D36">
        <v>57364</v>
      </c>
      <c r="E36">
        <f t="shared" si="5"/>
        <v>2.0000000000000002E-7</v>
      </c>
      <c r="F36">
        <f t="shared" si="6"/>
        <v>4.9999999999999998E-7</v>
      </c>
    </row>
    <row r="37" spans="1:6" x14ac:dyDescent="0.3">
      <c r="A37" t="s">
        <v>3</v>
      </c>
      <c r="B37">
        <v>2268</v>
      </c>
      <c r="C37">
        <v>3858</v>
      </c>
      <c r="D37">
        <v>37818</v>
      </c>
      <c r="E37">
        <f t="shared" si="5"/>
        <v>2.0000000000000002E-7</v>
      </c>
      <c r="F37">
        <f t="shared" si="6"/>
        <v>4.9999999999999998E-7</v>
      </c>
    </row>
    <row r="38" spans="1:6" x14ac:dyDescent="0.3">
      <c r="A38" t="s">
        <v>3</v>
      </c>
      <c r="B38">
        <v>2268</v>
      </c>
      <c r="C38">
        <v>3521</v>
      </c>
      <c r="D38">
        <v>35557</v>
      </c>
      <c r="E38">
        <f t="shared" si="5"/>
        <v>2.0000000000000002E-7</v>
      </c>
      <c r="F38">
        <f t="shared" si="6"/>
        <v>4.9999999999999998E-7</v>
      </c>
    </row>
    <row r="39" spans="1:6" x14ac:dyDescent="0.3">
      <c r="A39" t="s">
        <v>3</v>
      </c>
      <c r="B39">
        <v>2268</v>
      </c>
      <c r="C39">
        <v>4901</v>
      </c>
      <c r="D39">
        <v>48288</v>
      </c>
      <c r="E39">
        <f t="shared" si="5"/>
        <v>2.0000000000000002E-7</v>
      </c>
      <c r="F39">
        <f t="shared" si="6"/>
        <v>4.9999999999999998E-7</v>
      </c>
    </row>
    <row r="40" spans="1:6" x14ac:dyDescent="0.3">
      <c r="A40" t="s">
        <v>3</v>
      </c>
      <c r="B40">
        <v>2268</v>
      </c>
      <c r="C40">
        <v>3946</v>
      </c>
      <c r="D40">
        <v>40561</v>
      </c>
      <c r="E40">
        <f t="shared" si="5"/>
        <v>2.0000000000000002E-7</v>
      </c>
      <c r="F40">
        <f t="shared" si="6"/>
        <v>4.9999999999999998E-7</v>
      </c>
    </row>
    <row r="41" spans="1:6" x14ac:dyDescent="0.3">
      <c r="A41" t="s">
        <v>3</v>
      </c>
      <c r="B41">
        <v>2268</v>
      </c>
      <c r="C41">
        <v>3745</v>
      </c>
      <c r="D41">
        <v>39869</v>
      </c>
      <c r="E41">
        <f t="shared" si="5"/>
        <v>2.0000000000000002E-7</v>
      </c>
      <c r="F41">
        <f t="shared" si="6"/>
        <v>4.9999999999999998E-7</v>
      </c>
    </row>
    <row r="42" spans="1:6" x14ac:dyDescent="0.3">
      <c r="A42" t="s">
        <v>4</v>
      </c>
      <c r="B42">
        <v>2280</v>
      </c>
      <c r="C42">
        <v>143</v>
      </c>
      <c r="D42">
        <v>1791</v>
      </c>
      <c r="E42">
        <f t="shared" si="5"/>
        <v>2.0000000000000002E-7</v>
      </c>
      <c r="F42">
        <f t="shared" si="6"/>
        <v>4.9999999999999998E-7</v>
      </c>
    </row>
    <row r="43" spans="1:6" x14ac:dyDescent="0.3">
      <c r="A43" t="s">
        <v>4</v>
      </c>
      <c r="B43">
        <v>2280</v>
      </c>
      <c r="C43">
        <v>139</v>
      </c>
      <c r="D43">
        <v>1536</v>
      </c>
      <c r="E43">
        <f t="shared" si="5"/>
        <v>2.0000000000000002E-7</v>
      </c>
      <c r="F43">
        <f t="shared" si="6"/>
        <v>4.9999999999999998E-7</v>
      </c>
    </row>
    <row r="44" spans="1:6" x14ac:dyDescent="0.3">
      <c r="A44" t="s">
        <v>4</v>
      </c>
      <c r="B44">
        <v>2280</v>
      </c>
      <c r="C44">
        <v>142</v>
      </c>
      <c r="D44">
        <v>1733</v>
      </c>
      <c r="E44">
        <f t="shared" si="5"/>
        <v>2.0000000000000002E-7</v>
      </c>
      <c r="F44">
        <f t="shared" si="6"/>
        <v>4.9999999999999998E-7</v>
      </c>
    </row>
    <row r="45" spans="1:6" x14ac:dyDescent="0.3">
      <c r="A45" t="s">
        <v>4</v>
      </c>
      <c r="B45">
        <v>2280</v>
      </c>
      <c r="C45">
        <v>142</v>
      </c>
      <c r="D45">
        <v>2277</v>
      </c>
      <c r="E45">
        <f t="shared" si="5"/>
        <v>2.0000000000000002E-7</v>
      </c>
      <c r="F45">
        <f t="shared" si="6"/>
        <v>4.9999999999999998E-7</v>
      </c>
    </row>
    <row r="46" spans="1:6" x14ac:dyDescent="0.3">
      <c r="A46" t="s">
        <v>4</v>
      </c>
      <c r="B46">
        <v>2280</v>
      </c>
      <c r="C46">
        <v>142</v>
      </c>
      <c r="D46">
        <v>1814</v>
      </c>
      <c r="E46">
        <f t="shared" si="5"/>
        <v>2.0000000000000002E-7</v>
      </c>
      <c r="F46">
        <f t="shared" si="6"/>
        <v>4.9999999999999998E-7</v>
      </c>
    </row>
    <row r="47" spans="1:6" x14ac:dyDescent="0.3">
      <c r="A47" t="s">
        <v>4</v>
      </c>
      <c r="B47">
        <v>2280</v>
      </c>
      <c r="C47">
        <v>142</v>
      </c>
      <c r="D47">
        <v>2199</v>
      </c>
      <c r="E47">
        <f t="shared" si="5"/>
        <v>2.0000000000000002E-7</v>
      </c>
      <c r="F47">
        <f t="shared" si="6"/>
        <v>4.9999999999999998E-7</v>
      </c>
    </row>
    <row r="48" spans="1:6" x14ac:dyDescent="0.3">
      <c r="A48" t="s">
        <v>4</v>
      </c>
      <c r="B48">
        <v>2280</v>
      </c>
      <c r="C48">
        <v>143</v>
      </c>
      <c r="D48">
        <v>2495</v>
      </c>
      <c r="E48">
        <f t="shared" si="5"/>
        <v>2.0000000000000002E-7</v>
      </c>
      <c r="F48">
        <f t="shared" si="6"/>
        <v>4.9999999999999998E-7</v>
      </c>
    </row>
    <row r="49" spans="1:6" x14ac:dyDescent="0.3">
      <c r="A49" t="s">
        <v>4</v>
      </c>
      <c r="B49">
        <v>2280</v>
      </c>
      <c r="C49">
        <v>143</v>
      </c>
      <c r="D49">
        <v>2168</v>
      </c>
      <c r="E49">
        <f t="shared" si="5"/>
        <v>2.0000000000000002E-7</v>
      </c>
      <c r="F49">
        <f t="shared" si="6"/>
        <v>4.9999999999999998E-7</v>
      </c>
    </row>
    <row r="50" spans="1:6" x14ac:dyDescent="0.3">
      <c r="A50" t="s">
        <v>4</v>
      </c>
      <c r="B50">
        <v>2280</v>
      </c>
      <c r="C50">
        <v>140</v>
      </c>
      <c r="D50">
        <v>1976</v>
      </c>
      <c r="E50">
        <f t="shared" si="5"/>
        <v>2.0000000000000002E-7</v>
      </c>
      <c r="F50">
        <f t="shared" si="6"/>
        <v>4.9999999999999998E-7</v>
      </c>
    </row>
    <row r="51" spans="1:6" x14ac:dyDescent="0.3">
      <c r="A51" t="s">
        <v>4</v>
      </c>
      <c r="B51">
        <v>2280</v>
      </c>
      <c r="C51">
        <v>140</v>
      </c>
      <c r="D51">
        <v>2110</v>
      </c>
      <c r="E51">
        <f t="shared" si="5"/>
        <v>2.0000000000000002E-7</v>
      </c>
      <c r="F51">
        <f t="shared" si="6"/>
        <v>4.9999999999999998E-7</v>
      </c>
    </row>
    <row r="52" spans="1:6" x14ac:dyDescent="0.3">
      <c r="A52" t="s">
        <v>5</v>
      </c>
      <c r="B52">
        <v>1919</v>
      </c>
      <c r="C52">
        <v>2508</v>
      </c>
      <c r="D52">
        <v>16421</v>
      </c>
      <c r="E52">
        <f>2/1000000</f>
        <v>1.9999999999999999E-6</v>
      </c>
      <c r="F52">
        <f>6/1000000</f>
        <v>6.0000000000000002E-6</v>
      </c>
    </row>
    <row r="53" spans="1:6" x14ac:dyDescent="0.3">
      <c r="A53" t="s">
        <v>5</v>
      </c>
      <c r="B53">
        <v>1919</v>
      </c>
      <c r="C53">
        <v>1899</v>
      </c>
      <c r="D53">
        <v>11680</v>
      </c>
      <c r="E53">
        <f t="shared" ref="E33:E96" si="7">2/1000000</f>
        <v>1.9999999999999999E-6</v>
      </c>
      <c r="F53">
        <f t="shared" ref="F33:F96" si="8">6/1000000</f>
        <v>6.0000000000000002E-6</v>
      </c>
    </row>
    <row r="54" spans="1:6" x14ac:dyDescent="0.3">
      <c r="A54" t="s">
        <v>5</v>
      </c>
      <c r="B54">
        <v>1919</v>
      </c>
      <c r="C54">
        <v>2215</v>
      </c>
      <c r="D54">
        <v>12826</v>
      </c>
      <c r="E54">
        <f t="shared" si="7"/>
        <v>1.9999999999999999E-6</v>
      </c>
      <c r="F54">
        <f t="shared" si="8"/>
        <v>6.0000000000000002E-6</v>
      </c>
    </row>
    <row r="55" spans="1:6" x14ac:dyDescent="0.3">
      <c r="A55" t="s">
        <v>5</v>
      </c>
      <c r="B55">
        <v>1919</v>
      </c>
      <c r="C55">
        <v>1848</v>
      </c>
      <c r="D55">
        <v>10791</v>
      </c>
      <c r="E55">
        <f t="shared" si="7"/>
        <v>1.9999999999999999E-6</v>
      </c>
      <c r="F55">
        <f t="shared" si="8"/>
        <v>6.0000000000000002E-6</v>
      </c>
    </row>
    <row r="56" spans="1:6" x14ac:dyDescent="0.3">
      <c r="A56" t="s">
        <v>5</v>
      </c>
      <c r="B56">
        <v>1919</v>
      </c>
      <c r="C56">
        <v>2238</v>
      </c>
      <c r="D56">
        <v>13292</v>
      </c>
      <c r="E56">
        <f t="shared" si="7"/>
        <v>1.9999999999999999E-6</v>
      </c>
      <c r="F56">
        <f t="shared" si="8"/>
        <v>6.0000000000000002E-6</v>
      </c>
    </row>
    <row r="57" spans="1:6" x14ac:dyDescent="0.3">
      <c r="A57" t="s">
        <v>5</v>
      </c>
      <c r="B57">
        <v>1919</v>
      </c>
      <c r="C57">
        <v>2244</v>
      </c>
      <c r="D57">
        <v>13979</v>
      </c>
      <c r="E57">
        <f t="shared" si="7"/>
        <v>1.9999999999999999E-6</v>
      </c>
      <c r="F57">
        <f t="shared" si="8"/>
        <v>6.0000000000000002E-6</v>
      </c>
    </row>
    <row r="58" spans="1:6" x14ac:dyDescent="0.3">
      <c r="A58" t="s">
        <v>5</v>
      </c>
      <c r="B58">
        <v>1919</v>
      </c>
      <c r="C58">
        <v>1926</v>
      </c>
      <c r="D58">
        <v>12585</v>
      </c>
      <c r="E58">
        <f t="shared" si="7"/>
        <v>1.9999999999999999E-6</v>
      </c>
      <c r="F58">
        <f t="shared" si="8"/>
        <v>6.0000000000000002E-6</v>
      </c>
    </row>
    <row r="59" spans="1:6" x14ac:dyDescent="0.3">
      <c r="A59" t="s">
        <v>5</v>
      </c>
      <c r="B59">
        <v>1919</v>
      </c>
      <c r="C59">
        <v>2022</v>
      </c>
      <c r="D59">
        <v>14181</v>
      </c>
      <c r="E59">
        <f t="shared" si="7"/>
        <v>1.9999999999999999E-6</v>
      </c>
      <c r="F59">
        <f t="shared" si="8"/>
        <v>6.0000000000000002E-6</v>
      </c>
    </row>
    <row r="60" spans="1:6" x14ac:dyDescent="0.3">
      <c r="A60" t="s">
        <v>5</v>
      </c>
      <c r="B60">
        <v>1919</v>
      </c>
      <c r="C60">
        <v>2612</v>
      </c>
      <c r="D60">
        <v>15701</v>
      </c>
      <c r="E60">
        <f t="shared" si="7"/>
        <v>1.9999999999999999E-6</v>
      </c>
      <c r="F60">
        <f t="shared" si="8"/>
        <v>6.0000000000000002E-6</v>
      </c>
    </row>
    <row r="61" spans="1:6" x14ac:dyDescent="0.3">
      <c r="A61" t="s">
        <v>5</v>
      </c>
      <c r="B61">
        <v>1919</v>
      </c>
      <c r="C61">
        <v>1993</v>
      </c>
      <c r="D61">
        <v>14104</v>
      </c>
      <c r="E61">
        <f t="shared" si="7"/>
        <v>1.9999999999999999E-6</v>
      </c>
      <c r="F61">
        <f t="shared" si="8"/>
        <v>6.0000000000000002E-6</v>
      </c>
    </row>
    <row r="62" spans="1:6" x14ac:dyDescent="0.3">
      <c r="A62" t="s">
        <v>6</v>
      </c>
      <c r="B62">
        <v>8789</v>
      </c>
      <c r="C62">
        <v>99</v>
      </c>
      <c r="D62">
        <v>34490</v>
      </c>
      <c r="E62">
        <f>2/1000000</f>
        <v>1.9999999999999999E-6</v>
      </c>
      <c r="F62">
        <f>12/1000000</f>
        <v>1.2E-5</v>
      </c>
    </row>
    <row r="63" spans="1:6" x14ac:dyDescent="0.3">
      <c r="A63" t="s">
        <v>6</v>
      </c>
      <c r="B63">
        <v>8789</v>
      </c>
      <c r="C63">
        <v>99</v>
      </c>
      <c r="D63">
        <v>20504</v>
      </c>
      <c r="E63">
        <f t="shared" ref="E63:E71" si="9">2/1000000</f>
        <v>1.9999999999999999E-6</v>
      </c>
      <c r="F63">
        <f t="shared" ref="F63:F71" si="10">12/1000000</f>
        <v>1.2E-5</v>
      </c>
    </row>
    <row r="64" spans="1:6" x14ac:dyDescent="0.3">
      <c r="A64" t="s">
        <v>6</v>
      </c>
      <c r="B64">
        <v>8789</v>
      </c>
      <c r="C64">
        <v>171</v>
      </c>
      <c r="D64">
        <v>16780</v>
      </c>
      <c r="E64">
        <f t="shared" si="9"/>
        <v>1.9999999999999999E-6</v>
      </c>
      <c r="F64">
        <f t="shared" si="10"/>
        <v>1.2E-5</v>
      </c>
    </row>
    <row r="65" spans="1:6" x14ac:dyDescent="0.3">
      <c r="A65" t="s">
        <v>6</v>
      </c>
      <c r="B65">
        <v>8789</v>
      </c>
      <c r="C65">
        <v>177</v>
      </c>
      <c r="D65">
        <v>17437</v>
      </c>
      <c r="E65">
        <f t="shared" si="9"/>
        <v>1.9999999999999999E-6</v>
      </c>
      <c r="F65">
        <f t="shared" si="10"/>
        <v>1.2E-5</v>
      </c>
    </row>
    <row r="66" spans="1:6" x14ac:dyDescent="0.3">
      <c r="A66" t="s">
        <v>6</v>
      </c>
      <c r="B66">
        <v>8789</v>
      </c>
      <c r="C66">
        <v>99</v>
      </c>
      <c r="D66">
        <v>33122</v>
      </c>
      <c r="E66">
        <f t="shared" si="9"/>
        <v>1.9999999999999999E-6</v>
      </c>
      <c r="F66">
        <f t="shared" si="10"/>
        <v>1.2E-5</v>
      </c>
    </row>
    <row r="67" spans="1:6" x14ac:dyDescent="0.3">
      <c r="A67" t="s">
        <v>6</v>
      </c>
      <c r="B67">
        <v>8789</v>
      </c>
      <c r="C67">
        <v>169</v>
      </c>
      <c r="D67">
        <v>14133</v>
      </c>
      <c r="E67">
        <f t="shared" si="9"/>
        <v>1.9999999999999999E-6</v>
      </c>
      <c r="F67">
        <f t="shared" si="10"/>
        <v>1.2E-5</v>
      </c>
    </row>
    <row r="68" spans="1:6" x14ac:dyDescent="0.3">
      <c r="A68" t="s">
        <v>6</v>
      </c>
      <c r="B68">
        <v>8789</v>
      </c>
      <c r="C68">
        <v>167</v>
      </c>
      <c r="D68">
        <v>16534</v>
      </c>
      <c r="E68">
        <f t="shared" si="9"/>
        <v>1.9999999999999999E-6</v>
      </c>
      <c r="F68">
        <f t="shared" si="10"/>
        <v>1.2E-5</v>
      </c>
    </row>
    <row r="69" spans="1:6" x14ac:dyDescent="0.3">
      <c r="A69" t="s">
        <v>6</v>
      </c>
      <c r="B69">
        <v>8789</v>
      </c>
      <c r="C69">
        <v>121</v>
      </c>
      <c r="D69">
        <v>20041</v>
      </c>
      <c r="E69">
        <f t="shared" si="9"/>
        <v>1.9999999999999999E-6</v>
      </c>
      <c r="F69">
        <f t="shared" si="10"/>
        <v>1.2E-5</v>
      </c>
    </row>
    <row r="70" spans="1:6" x14ac:dyDescent="0.3">
      <c r="A70" t="s">
        <v>6</v>
      </c>
      <c r="B70">
        <v>8789</v>
      </c>
      <c r="C70">
        <v>99</v>
      </c>
      <c r="D70">
        <v>38039</v>
      </c>
      <c r="E70">
        <f t="shared" si="9"/>
        <v>1.9999999999999999E-6</v>
      </c>
      <c r="F70">
        <f t="shared" si="10"/>
        <v>1.2E-5</v>
      </c>
    </row>
    <row r="71" spans="1:6" x14ac:dyDescent="0.3">
      <c r="A71" t="s">
        <v>6</v>
      </c>
      <c r="B71">
        <v>8789</v>
      </c>
      <c r="C71">
        <v>115</v>
      </c>
      <c r="D71">
        <v>23417</v>
      </c>
      <c r="E71">
        <f>2/1000000</f>
        <v>1.9999999999999999E-6</v>
      </c>
      <c r="F71">
        <f t="shared" si="10"/>
        <v>1.2E-5</v>
      </c>
    </row>
    <row r="72" spans="1:6" x14ac:dyDescent="0.3">
      <c r="A72" t="s">
        <v>7</v>
      </c>
      <c r="B72">
        <v>4750</v>
      </c>
      <c r="C72">
        <v>162</v>
      </c>
      <c r="D72">
        <v>2717</v>
      </c>
      <c r="E72">
        <f>0.1/1000000</f>
        <v>1.0000000000000001E-7</v>
      </c>
      <c r="F72">
        <f>0.4/1000000</f>
        <v>4.0000000000000003E-7</v>
      </c>
    </row>
    <row r="73" spans="1:6" x14ac:dyDescent="0.3">
      <c r="A73" t="s">
        <v>7</v>
      </c>
      <c r="B73">
        <v>4750</v>
      </c>
      <c r="C73">
        <v>163</v>
      </c>
      <c r="D73">
        <v>3003</v>
      </c>
      <c r="E73">
        <f t="shared" ref="E73:E81" si="11">0.1/1000000</f>
        <v>1.0000000000000001E-7</v>
      </c>
      <c r="F73">
        <f t="shared" ref="F73:F81" si="12">0.4/1000000</f>
        <v>4.0000000000000003E-7</v>
      </c>
    </row>
    <row r="74" spans="1:6" x14ac:dyDescent="0.3">
      <c r="A74" t="s">
        <v>7</v>
      </c>
      <c r="B74">
        <v>4750</v>
      </c>
      <c r="C74">
        <v>162</v>
      </c>
      <c r="D74">
        <v>1280</v>
      </c>
      <c r="E74">
        <f t="shared" si="11"/>
        <v>1.0000000000000001E-7</v>
      </c>
      <c r="F74">
        <f t="shared" si="12"/>
        <v>4.0000000000000003E-7</v>
      </c>
    </row>
    <row r="75" spans="1:6" x14ac:dyDescent="0.3">
      <c r="A75" t="s">
        <v>7</v>
      </c>
      <c r="B75">
        <v>4750</v>
      </c>
      <c r="C75">
        <v>163</v>
      </c>
      <c r="D75">
        <v>2578</v>
      </c>
      <c r="E75">
        <f t="shared" si="11"/>
        <v>1.0000000000000001E-7</v>
      </c>
      <c r="F75">
        <f t="shared" si="12"/>
        <v>4.0000000000000003E-7</v>
      </c>
    </row>
    <row r="76" spans="1:6" x14ac:dyDescent="0.3">
      <c r="A76" t="s">
        <v>7</v>
      </c>
      <c r="B76">
        <v>4750</v>
      </c>
      <c r="C76">
        <v>171</v>
      </c>
      <c r="D76">
        <v>2096</v>
      </c>
      <c r="E76">
        <f t="shared" si="11"/>
        <v>1.0000000000000001E-7</v>
      </c>
      <c r="F76">
        <f t="shared" si="12"/>
        <v>4.0000000000000003E-7</v>
      </c>
    </row>
    <row r="77" spans="1:6" x14ac:dyDescent="0.3">
      <c r="A77" t="s">
        <v>7</v>
      </c>
      <c r="B77">
        <v>4750</v>
      </c>
      <c r="C77">
        <v>162</v>
      </c>
      <c r="D77">
        <v>2048</v>
      </c>
      <c r="E77">
        <f t="shared" si="11"/>
        <v>1.0000000000000001E-7</v>
      </c>
      <c r="F77">
        <f t="shared" si="12"/>
        <v>4.0000000000000003E-7</v>
      </c>
    </row>
    <row r="78" spans="1:6" x14ac:dyDescent="0.3">
      <c r="A78" t="s">
        <v>7</v>
      </c>
      <c r="B78">
        <v>4750</v>
      </c>
      <c r="C78">
        <v>165</v>
      </c>
      <c r="D78">
        <v>1696</v>
      </c>
      <c r="E78">
        <f t="shared" si="11"/>
        <v>1.0000000000000001E-7</v>
      </c>
      <c r="F78">
        <f t="shared" si="12"/>
        <v>4.0000000000000003E-7</v>
      </c>
    </row>
    <row r="79" spans="1:6" x14ac:dyDescent="0.3">
      <c r="A79" t="s">
        <v>7</v>
      </c>
      <c r="B79">
        <v>4750</v>
      </c>
      <c r="C79">
        <v>167</v>
      </c>
      <c r="D79">
        <v>1527</v>
      </c>
      <c r="E79">
        <f t="shared" si="11"/>
        <v>1.0000000000000001E-7</v>
      </c>
      <c r="F79">
        <f t="shared" si="12"/>
        <v>4.0000000000000003E-7</v>
      </c>
    </row>
    <row r="80" spans="1:6" x14ac:dyDescent="0.3">
      <c r="A80" t="s">
        <v>7</v>
      </c>
      <c r="B80">
        <v>4750</v>
      </c>
      <c r="C80">
        <v>176</v>
      </c>
      <c r="D80">
        <v>1459</v>
      </c>
      <c r="E80">
        <f t="shared" si="11"/>
        <v>1.0000000000000001E-7</v>
      </c>
      <c r="F80">
        <f t="shared" si="12"/>
        <v>4.0000000000000003E-7</v>
      </c>
    </row>
    <row r="81" spans="1:6" x14ac:dyDescent="0.3">
      <c r="A81" t="s">
        <v>7</v>
      </c>
      <c r="B81">
        <v>4750</v>
      </c>
      <c r="C81">
        <v>164</v>
      </c>
      <c r="D81">
        <v>2827</v>
      </c>
      <c r="E81">
        <f t="shared" si="11"/>
        <v>1.0000000000000001E-7</v>
      </c>
      <c r="F81">
        <f t="shared" si="12"/>
        <v>4.0000000000000003E-7</v>
      </c>
    </row>
    <row r="82" spans="1:6" x14ac:dyDescent="0.3">
      <c r="A82" t="s">
        <v>8</v>
      </c>
      <c r="B82">
        <v>4750</v>
      </c>
      <c r="C82">
        <v>173</v>
      </c>
      <c r="D82">
        <v>11307</v>
      </c>
      <c r="E82">
        <f>0.3/1000000</f>
        <v>2.9999999999999999E-7</v>
      </c>
      <c r="F82">
        <f>2.5/1000000</f>
        <v>2.5000000000000002E-6</v>
      </c>
    </row>
    <row r="83" spans="1:6" x14ac:dyDescent="0.3">
      <c r="A83" t="s">
        <v>8</v>
      </c>
      <c r="B83">
        <v>4750</v>
      </c>
      <c r="C83">
        <v>194</v>
      </c>
      <c r="D83">
        <v>11259</v>
      </c>
      <c r="E83">
        <f t="shared" ref="E83:E91" si="13">0.3/1000000</f>
        <v>2.9999999999999999E-7</v>
      </c>
      <c r="F83">
        <f t="shared" ref="F83:F91" si="14">2.5/1000000</f>
        <v>2.5000000000000002E-6</v>
      </c>
    </row>
    <row r="84" spans="1:6" x14ac:dyDescent="0.3">
      <c r="A84" t="s">
        <v>8</v>
      </c>
      <c r="B84">
        <v>4750</v>
      </c>
      <c r="C84">
        <v>169</v>
      </c>
      <c r="D84">
        <v>14115</v>
      </c>
      <c r="E84">
        <f t="shared" si="13"/>
        <v>2.9999999999999999E-7</v>
      </c>
      <c r="F84">
        <f t="shared" si="14"/>
        <v>2.5000000000000002E-6</v>
      </c>
    </row>
    <row r="85" spans="1:6" x14ac:dyDescent="0.3">
      <c r="A85" t="s">
        <v>8</v>
      </c>
      <c r="B85">
        <v>4750</v>
      </c>
      <c r="C85">
        <v>166</v>
      </c>
      <c r="D85">
        <v>9462</v>
      </c>
      <c r="E85">
        <f t="shared" si="13"/>
        <v>2.9999999999999999E-7</v>
      </c>
      <c r="F85">
        <f t="shared" si="14"/>
        <v>2.5000000000000002E-6</v>
      </c>
    </row>
    <row r="86" spans="1:6" x14ac:dyDescent="0.3">
      <c r="A86" t="s">
        <v>8</v>
      </c>
      <c r="B86">
        <v>4750</v>
      </c>
      <c r="C86">
        <v>191</v>
      </c>
      <c r="D86">
        <v>9856</v>
      </c>
      <c r="E86">
        <f t="shared" si="13"/>
        <v>2.9999999999999999E-7</v>
      </c>
      <c r="F86">
        <f t="shared" si="14"/>
        <v>2.5000000000000002E-6</v>
      </c>
    </row>
    <row r="87" spans="1:6" x14ac:dyDescent="0.3">
      <c r="A87" t="s">
        <v>8</v>
      </c>
      <c r="B87">
        <v>4750</v>
      </c>
      <c r="C87">
        <v>180</v>
      </c>
      <c r="D87">
        <v>17095</v>
      </c>
      <c r="E87">
        <f t="shared" si="13"/>
        <v>2.9999999999999999E-7</v>
      </c>
      <c r="F87">
        <f t="shared" si="14"/>
        <v>2.5000000000000002E-6</v>
      </c>
    </row>
    <row r="88" spans="1:6" x14ac:dyDescent="0.3">
      <c r="A88" t="s">
        <v>8</v>
      </c>
      <c r="B88">
        <v>4750</v>
      </c>
      <c r="C88">
        <v>176</v>
      </c>
      <c r="D88">
        <v>12593</v>
      </c>
      <c r="E88">
        <f t="shared" si="13"/>
        <v>2.9999999999999999E-7</v>
      </c>
      <c r="F88">
        <f t="shared" si="14"/>
        <v>2.5000000000000002E-6</v>
      </c>
    </row>
    <row r="89" spans="1:6" x14ac:dyDescent="0.3">
      <c r="A89" t="s">
        <v>8</v>
      </c>
      <c r="B89">
        <v>4750</v>
      </c>
      <c r="C89">
        <v>181</v>
      </c>
      <c r="D89">
        <v>12869</v>
      </c>
      <c r="E89">
        <f t="shared" si="13"/>
        <v>2.9999999999999999E-7</v>
      </c>
      <c r="F89">
        <f t="shared" si="14"/>
        <v>2.5000000000000002E-6</v>
      </c>
    </row>
    <row r="90" spans="1:6" x14ac:dyDescent="0.3">
      <c r="A90" t="s">
        <v>8</v>
      </c>
      <c r="B90">
        <v>4750</v>
      </c>
      <c r="C90">
        <v>172</v>
      </c>
      <c r="D90">
        <v>11510</v>
      </c>
      <c r="E90">
        <f t="shared" si="13"/>
        <v>2.9999999999999999E-7</v>
      </c>
      <c r="F90">
        <f t="shared" si="14"/>
        <v>2.5000000000000002E-6</v>
      </c>
    </row>
    <row r="91" spans="1:6" x14ac:dyDescent="0.3">
      <c r="A91" t="s">
        <v>8</v>
      </c>
      <c r="B91">
        <v>4750</v>
      </c>
      <c r="C91">
        <v>166</v>
      </c>
      <c r="D91">
        <v>19915</v>
      </c>
      <c r="E91">
        <f t="shared" si="13"/>
        <v>2.9999999999999999E-7</v>
      </c>
      <c r="F91">
        <f t="shared" si="14"/>
        <v>2.5000000000000002E-6</v>
      </c>
    </row>
    <row r="92" spans="1:6" x14ac:dyDescent="0.3">
      <c r="A92" t="s">
        <v>9</v>
      </c>
      <c r="B92">
        <v>4561</v>
      </c>
      <c r="C92">
        <v>138</v>
      </c>
      <c r="D92">
        <v>4566</v>
      </c>
      <c r="E92">
        <f>3/1000000</f>
        <v>3.0000000000000001E-6</v>
      </c>
      <c r="F92">
        <f>15/1000000</f>
        <v>1.5E-5</v>
      </c>
    </row>
    <row r="93" spans="1:6" x14ac:dyDescent="0.3">
      <c r="A93" t="s">
        <v>9</v>
      </c>
      <c r="B93">
        <v>4561</v>
      </c>
      <c r="C93">
        <v>129</v>
      </c>
      <c r="D93">
        <v>4975</v>
      </c>
      <c r="E93">
        <f t="shared" ref="E93:E101" si="15">3/1000000</f>
        <v>3.0000000000000001E-6</v>
      </c>
      <c r="F93">
        <f t="shared" ref="F93:F101" si="16">15/1000000</f>
        <v>1.5E-5</v>
      </c>
    </row>
    <row r="94" spans="1:6" x14ac:dyDescent="0.3">
      <c r="A94" t="s">
        <v>9</v>
      </c>
      <c r="B94">
        <v>4561</v>
      </c>
      <c r="C94">
        <v>129</v>
      </c>
      <c r="D94">
        <v>5447</v>
      </c>
      <c r="E94">
        <f t="shared" si="15"/>
        <v>3.0000000000000001E-6</v>
      </c>
      <c r="F94">
        <f t="shared" si="16"/>
        <v>1.5E-5</v>
      </c>
    </row>
    <row r="95" spans="1:6" x14ac:dyDescent="0.3">
      <c r="A95" t="s">
        <v>9</v>
      </c>
      <c r="B95">
        <v>4561</v>
      </c>
      <c r="C95">
        <v>126</v>
      </c>
      <c r="D95">
        <v>6123</v>
      </c>
      <c r="E95">
        <f t="shared" si="15"/>
        <v>3.0000000000000001E-6</v>
      </c>
      <c r="F95">
        <f t="shared" si="16"/>
        <v>1.5E-5</v>
      </c>
    </row>
    <row r="96" spans="1:6" x14ac:dyDescent="0.3">
      <c r="A96" t="s">
        <v>9</v>
      </c>
      <c r="B96">
        <v>4561</v>
      </c>
      <c r="C96">
        <v>141</v>
      </c>
      <c r="D96">
        <v>5017</v>
      </c>
      <c r="E96">
        <f t="shared" si="15"/>
        <v>3.0000000000000001E-6</v>
      </c>
      <c r="F96">
        <f t="shared" si="16"/>
        <v>1.5E-5</v>
      </c>
    </row>
    <row r="97" spans="1:6" x14ac:dyDescent="0.3">
      <c r="A97" t="s">
        <v>9</v>
      </c>
      <c r="B97">
        <v>4561</v>
      </c>
      <c r="C97">
        <v>129</v>
      </c>
      <c r="D97">
        <v>5156</v>
      </c>
      <c r="E97">
        <f t="shared" si="15"/>
        <v>3.0000000000000001E-6</v>
      </c>
      <c r="F97">
        <f t="shared" si="16"/>
        <v>1.5E-5</v>
      </c>
    </row>
    <row r="98" spans="1:6" x14ac:dyDescent="0.3">
      <c r="A98" t="s">
        <v>9</v>
      </c>
      <c r="B98">
        <v>4561</v>
      </c>
      <c r="C98">
        <v>138</v>
      </c>
      <c r="D98">
        <v>4296</v>
      </c>
      <c r="E98">
        <f t="shared" si="15"/>
        <v>3.0000000000000001E-6</v>
      </c>
      <c r="F98">
        <f t="shared" si="16"/>
        <v>1.5E-5</v>
      </c>
    </row>
    <row r="99" spans="1:6" x14ac:dyDescent="0.3">
      <c r="A99" t="s">
        <v>9</v>
      </c>
      <c r="B99">
        <v>4561</v>
      </c>
      <c r="C99">
        <v>129</v>
      </c>
      <c r="D99">
        <v>5495</v>
      </c>
      <c r="E99">
        <f t="shared" si="15"/>
        <v>3.0000000000000001E-6</v>
      </c>
      <c r="F99">
        <f t="shared" si="16"/>
        <v>1.5E-5</v>
      </c>
    </row>
    <row r="100" spans="1:6" x14ac:dyDescent="0.3">
      <c r="A100" t="s">
        <v>9</v>
      </c>
      <c r="B100">
        <v>4561</v>
      </c>
      <c r="C100">
        <v>138</v>
      </c>
      <c r="D100">
        <v>5414</v>
      </c>
      <c r="E100">
        <f t="shared" si="15"/>
        <v>3.0000000000000001E-6</v>
      </c>
      <c r="F100">
        <f t="shared" si="16"/>
        <v>1.5E-5</v>
      </c>
    </row>
    <row r="101" spans="1:6" x14ac:dyDescent="0.3">
      <c r="A101" t="s">
        <v>9</v>
      </c>
      <c r="B101">
        <v>4561</v>
      </c>
      <c r="C101">
        <v>122</v>
      </c>
      <c r="D101">
        <v>5336</v>
      </c>
      <c r="E101">
        <f t="shared" si="15"/>
        <v>3.0000000000000001E-6</v>
      </c>
      <c r="F101">
        <f t="shared" si="16"/>
        <v>1.5E-5</v>
      </c>
    </row>
    <row r="102" spans="1:6" x14ac:dyDescent="0.3">
      <c r="A102" t="s">
        <v>10</v>
      </c>
      <c r="B102">
        <v>4560</v>
      </c>
      <c r="C102">
        <v>131</v>
      </c>
      <c r="D102">
        <v>3142</v>
      </c>
      <c r="E102">
        <f>1/1000000</f>
        <v>9.9999999999999995E-7</v>
      </c>
      <c r="F102">
        <f>5/1000000</f>
        <v>5.0000000000000004E-6</v>
      </c>
    </row>
    <row r="103" spans="1:6" x14ac:dyDescent="0.3">
      <c r="A103" t="s">
        <v>10</v>
      </c>
      <c r="B103">
        <v>4560</v>
      </c>
      <c r="C103">
        <v>131</v>
      </c>
      <c r="D103">
        <v>2248</v>
      </c>
      <c r="E103">
        <f t="shared" ref="E103:E111" si="17">1/1000000</f>
        <v>9.9999999999999995E-7</v>
      </c>
      <c r="F103">
        <f t="shared" ref="F103:F111" si="18">5/1000000</f>
        <v>5.0000000000000004E-6</v>
      </c>
    </row>
    <row r="104" spans="1:6" x14ac:dyDescent="0.3">
      <c r="A104" t="s">
        <v>10</v>
      </c>
      <c r="B104">
        <v>4560</v>
      </c>
      <c r="C104">
        <v>130</v>
      </c>
      <c r="D104">
        <v>3055</v>
      </c>
      <c r="E104">
        <f t="shared" si="17"/>
        <v>9.9999999999999995E-7</v>
      </c>
      <c r="F104">
        <f t="shared" si="18"/>
        <v>5.0000000000000004E-6</v>
      </c>
    </row>
    <row r="105" spans="1:6" x14ac:dyDescent="0.3">
      <c r="A105" t="s">
        <v>10</v>
      </c>
      <c r="B105">
        <v>4560</v>
      </c>
      <c r="C105">
        <v>124</v>
      </c>
      <c r="D105">
        <v>2634</v>
      </c>
      <c r="E105">
        <f t="shared" si="17"/>
        <v>9.9999999999999995E-7</v>
      </c>
      <c r="F105">
        <f t="shared" si="18"/>
        <v>5.0000000000000004E-6</v>
      </c>
    </row>
    <row r="106" spans="1:6" x14ac:dyDescent="0.3">
      <c r="A106" t="s">
        <v>10</v>
      </c>
      <c r="B106">
        <v>4560</v>
      </c>
      <c r="C106">
        <v>127</v>
      </c>
      <c r="D106">
        <v>2478</v>
      </c>
      <c r="E106">
        <f t="shared" si="17"/>
        <v>9.9999999999999995E-7</v>
      </c>
      <c r="F106">
        <f t="shared" si="18"/>
        <v>5.0000000000000004E-6</v>
      </c>
    </row>
    <row r="107" spans="1:6" x14ac:dyDescent="0.3">
      <c r="A107" t="s">
        <v>10</v>
      </c>
      <c r="B107">
        <v>4560</v>
      </c>
      <c r="C107">
        <v>118</v>
      </c>
      <c r="D107">
        <v>2559</v>
      </c>
      <c r="E107">
        <f t="shared" si="17"/>
        <v>9.9999999999999995E-7</v>
      </c>
      <c r="F107">
        <f t="shared" si="18"/>
        <v>5.0000000000000004E-6</v>
      </c>
    </row>
    <row r="108" spans="1:6" x14ac:dyDescent="0.3">
      <c r="A108" t="s">
        <v>10</v>
      </c>
      <c r="B108">
        <v>4560</v>
      </c>
      <c r="C108">
        <v>119</v>
      </c>
      <c r="D108">
        <v>2651</v>
      </c>
      <c r="E108">
        <f t="shared" si="17"/>
        <v>9.9999999999999995E-7</v>
      </c>
      <c r="F108">
        <f t="shared" si="18"/>
        <v>5.0000000000000004E-6</v>
      </c>
    </row>
    <row r="109" spans="1:6" x14ac:dyDescent="0.3">
      <c r="A109" t="s">
        <v>10</v>
      </c>
      <c r="B109">
        <v>4560</v>
      </c>
      <c r="C109">
        <v>119</v>
      </c>
      <c r="D109">
        <v>3546</v>
      </c>
      <c r="E109">
        <f t="shared" si="17"/>
        <v>9.9999999999999995E-7</v>
      </c>
      <c r="F109">
        <f t="shared" si="18"/>
        <v>5.0000000000000004E-6</v>
      </c>
    </row>
    <row r="110" spans="1:6" x14ac:dyDescent="0.3">
      <c r="A110" t="s">
        <v>10</v>
      </c>
      <c r="B110">
        <v>4560</v>
      </c>
      <c r="C110">
        <v>123</v>
      </c>
      <c r="D110">
        <v>2679</v>
      </c>
      <c r="E110">
        <f t="shared" si="17"/>
        <v>9.9999999999999995E-7</v>
      </c>
      <c r="F110">
        <f t="shared" si="18"/>
        <v>5.0000000000000004E-6</v>
      </c>
    </row>
    <row r="111" spans="1:6" x14ac:dyDescent="0.3">
      <c r="A111" t="s">
        <v>10</v>
      </c>
      <c r="B111">
        <v>4560</v>
      </c>
      <c r="C111">
        <v>132</v>
      </c>
      <c r="D111">
        <v>2603</v>
      </c>
      <c r="E111">
        <f t="shared" si="17"/>
        <v>9.9999999999999995E-7</v>
      </c>
      <c r="F111">
        <f t="shared" si="18"/>
        <v>5.0000000000000004E-6</v>
      </c>
    </row>
    <row r="112" spans="1:6" x14ac:dyDescent="0.3">
      <c r="A112" t="s">
        <v>11</v>
      </c>
      <c r="B112">
        <v>4561</v>
      </c>
      <c r="C112">
        <v>136</v>
      </c>
      <c r="D112">
        <v>5592</v>
      </c>
      <c r="E112">
        <f>5/1000000</f>
        <v>5.0000000000000004E-6</v>
      </c>
      <c r="F112">
        <f>25/1000000</f>
        <v>2.5000000000000001E-5</v>
      </c>
    </row>
    <row r="113" spans="1:6" x14ac:dyDescent="0.3">
      <c r="A113" t="s">
        <v>11</v>
      </c>
      <c r="B113">
        <v>4561</v>
      </c>
      <c r="C113">
        <v>135</v>
      </c>
      <c r="D113">
        <v>6619</v>
      </c>
      <c r="E113">
        <f t="shared" ref="E113:E121" si="19">5/1000000</f>
        <v>5.0000000000000004E-6</v>
      </c>
      <c r="F113">
        <f t="shared" ref="F113:F121" si="20">25/1000000</f>
        <v>2.5000000000000001E-5</v>
      </c>
    </row>
    <row r="114" spans="1:6" x14ac:dyDescent="0.3">
      <c r="A114" t="s">
        <v>11</v>
      </c>
      <c r="B114">
        <v>4561</v>
      </c>
      <c r="C114">
        <v>137</v>
      </c>
      <c r="D114">
        <v>5490</v>
      </c>
      <c r="E114">
        <f t="shared" si="19"/>
        <v>5.0000000000000004E-6</v>
      </c>
      <c r="F114">
        <f t="shared" si="20"/>
        <v>2.5000000000000001E-5</v>
      </c>
    </row>
    <row r="115" spans="1:6" x14ac:dyDescent="0.3">
      <c r="A115" t="s">
        <v>11</v>
      </c>
      <c r="B115">
        <v>4561</v>
      </c>
      <c r="C115">
        <v>135</v>
      </c>
      <c r="D115">
        <v>6783</v>
      </c>
      <c r="E115">
        <f t="shared" si="19"/>
        <v>5.0000000000000004E-6</v>
      </c>
      <c r="F115">
        <f t="shared" si="20"/>
        <v>2.5000000000000001E-5</v>
      </c>
    </row>
    <row r="116" spans="1:6" x14ac:dyDescent="0.3">
      <c r="A116" t="s">
        <v>11</v>
      </c>
      <c r="B116">
        <v>4561</v>
      </c>
      <c r="C116">
        <v>135</v>
      </c>
      <c r="D116">
        <v>7102</v>
      </c>
      <c r="E116">
        <f t="shared" si="19"/>
        <v>5.0000000000000004E-6</v>
      </c>
      <c r="F116">
        <f t="shared" si="20"/>
        <v>2.5000000000000001E-5</v>
      </c>
    </row>
    <row r="117" spans="1:6" x14ac:dyDescent="0.3">
      <c r="A117" t="s">
        <v>11</v>
      </c>
      <c r="B117">
        <v>4561</v>
      </c>
      <c r="C117">
        <v>136</v>
      </c>
      <c r="D117">
        <v>7520</v>
      </c>
      <c r="E117">
        <f t="shared" si="19"/>
        <v>5.0000000000000004E-6</v>
      </c>
      <c r="F117">
        <f t="shared" si="20"/>
        <v>2.5000000000000001E-5</v>
      </c>
    </row>
    <row r="118" spans="1:6" x14ac:dyDescent="0.3">
      <c r="A118" t="s">
        <v>11</v>
      </c>
      <c r="B118">
        <v>4561</v>
      </c>
      <c r="C118">
        <v>134</v>
      </c>
      <c r="D118">
        <v>6279</v>
      </c>
      <c r="E118">
        <f t="shared" si="19"/>
        <v>5.0000000000000004E-6</v>
      </c>
      <c r="F118">
        <f t="shared" si="20"/>
        <v>2.5000000000000001E-5</v>
      </c>
    </row>
    <row r="119" spans="1:6" x14ac:dyDescent="0.3">
      <c r="A119" t="s">
        <v>11</v>
      </c>
      <c r="B119">
        <v>4561</v>
      </c>
      <c r="C119">
        <v>136</v>
      </c>
      <c r="D119">
        <v>6699</v>
      </c>
      <c r="E119">
        <f t="shared" si="19"/>
        <v>5.0000000000000004E-6</v>
      </c>
      <c r="F119">
        <f t="shared" si="20"/>
        <v>2.5000000000000001E-5</v>
      </c>
    </row>
    <row r="120" spans="1:6" x14ac:dyDescent="0.3">
      <c r="A120" t="s">
        <v>11</v>
      </c>
      <c r="B120">
        <v>4561</v>
      </c>
      <c r="C120">
        <v>134</v>
      </c>
      <c r="D120">
        <v>6974</v>
      </c>
      <c r="E120">
        <f t="shared" si="19"/>
        <v>5.0000000000000004E-6</v>
      </c>
      <c r="F120">
        <f t="shared" si="20"/>
        <v>2.5000000000000001E-5</v>
      </c>
    </row>
    <row r="121" spans="1:6" x14ac:dyDescent="0.3">
      <c r="A121" t="s">
        <v>11</v>
      </c>
      <c r="B121">
        <v>4561</v>
      </c>
      <c r="C121">
        <v>135</v>
      </c>
      <c r="D121">
        <v>9199</v>
      </c>
      <c r="E121">
        <f t="shared" si="19"/>
        <v>5.0000000000000004E-6</v>
      </c>
      <c r="F121">
        <f t="shared" si="20"/>
        <v>2.5000000000000001E-5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Eason Chiu</dc:creator>
  <cp:lastModifiedBy>Eason Chiu</cp:lastModifiedBy>
  <dcterms:created xsi:type="dcterms:W3CDTF">2015-06-05T18:17:20Z</dcterms:created>
  <dcterms:modified xsi:type="dcterms:W3CDTF">2026-04-01T08:10:14Z</dcterms:modified>
</cp:coreProperties>
</file>